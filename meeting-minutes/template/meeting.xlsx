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PBOX\Dropbox\git\agent-guidelines-main\meeting-minutes\template\"/>
    </mc:Choice>
  </mc:AlternateContent>
  <xr:revisionPtr revIDLastSave="0" documentId="13_ncr:1_{7E228061-D22A-4F97-AADF-4E9E6BB7CBDD}" xr6:coauthVersionLast="47" xr6:coauthVersionMax="47" xr10:uidLastSave="{00000000-0000-0000-0000-000000000000}"/>
  <bookViews>
    <workbookView xWindow="9255" yWindow="8760" windowWidth="10785" windowHeight="8100" activeTab="2" xr2:uid="{B4469277-6AB8-44DD-BEDB-72AE7C942BB4}"/>
  </bookViews>
  <sheets>
    <sheet name="議事録" sheetId="1" r:id="rId1"/>
    <sheet name="_config" sheetId="9" state="veryHidden" r:id="rId2"/>
    <sheet name="発言記録" sheetId="2" r:id="rId3"/>
    <sheet name="header" sheetId="4" r:id="rId4"/>
    <sheet name="minutes" sheetId="5" r:id="rId5"/>
    <sheet name="participants" sheetId="7" r:id="rId6"/>
    <sheet name="Agenda" sheetId="8" r:id="rId7"/>
  </sheets>
  <definedNames>
    <definedName name="AgendaData" localSheetId="6">Agenda!$D$1:$F$1</definedName>
    <definedName name="AgendaData_1" localSheetId="6">Agenda!$A$1:$C$2</definedName>
    <definedName name="BasePath">_config!$A$1</definedName>
    <definedName name="HeaderData" localSheetId="3">header!$F$1:$J$2</definedName>
    <definedName name="HeaderData_1" localSheetId="3">header!$A$1:$E$2</definedName>
    <definedName name="MinutesData" localSheetId="4">minutes!$G$1:$L$22</definedName>
    <definedName name="MinutesData_1" localSheetId="4">minutes!$A$1:$F$2</definedName>
    <definedName name="ParticipantsData" localSheetId="5">participants!$E$1:$H$1</definedName>
    <definedName name="ParticipantsData_1" localSheetId="5">participants!$A$1:$D$2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" i="9" l="1"/>
  <c r="B21" i="1"/>
  <c r="B20" i="1"/>
  <c r="B19" i="1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B18" i="1"/>
  <c r="B17" i="1"/>
  <c r="E13" i="1"/>
  <c r="C13" i="1"/>
  <c r="B13" i="1"/>
  <c r="E12" i="1"/>
  <c r="C12" i="1"/>
  <c r="B12" i="1"/>
  <c r="E11" i="1"/>
  <c r="C11" i="1"/>
  <c r="B11" i="1"/>
  <c r="E10" i="1"/>
  <c r="C10" i="1"/>
  <c r="B10" i="1"/>
  <c r="E9" i="1"/>
  <c r="C9" i="1"/>
  <c r="B9" i="1"/>
  <c r="B5" i="1"/>
  <c r="E4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B9439-EC58-4426-865D-3DEA80B92C5F}" keepAlive="1" name="接続" type="5" refreshedVersion="8" saveData="1">
    <dbPr connection="Provider=Microsoft.Mashup.OleDb.1;Data Source=$Workbook$;Location=header;Extended Properties=&quot;&quot;;" command="SELECT * FROM [header]"/>
  </connection>
  <connection id="2" xr16:uid="{2223C9A2-F35E-4D02-962E-689BF2D71691}" keepAlive="1" name="接続1" type="5" refreshedVersion="8" saveData="1">
    <dbPr connection="Provider=Microsoft.Mashup.OleDb.1;Data Source=$Workbook$;Location=minutes;Extended Properties=&quot;&quot;;" command="SELECT * FROM [minutes]"/>
  </connection>
  <connection id="3" xr16:uid="{7A78A29F-5484-4BAC-80EF-120FBC75BF66}" keepAlive="1" name="接続2" type="5" refreshedVersion="8" saveData="1">
    <dbPr connection="Provider=Microsoft.Mashup.OleDb.1;Data Source=$Workbook$;Location=participants;Extended Properties=&quot;&quot;;" command="SELECT * FROM [participants]"/>
  </connection>
  <connection id="4" xr16:uid="{5D126943-6911-4E67-BB45-294FACA03DFB}" keepAlive="1" name="接続3" type="5" refreshedVersion="8" saveData="1">
    <dbPr connection="Provider=Microsoft.Mashup.OleDb.1;Data Source=$Workbook$;Location=Agenda;Extended Properties=&quot;&quot;;" command="SELECT * FROM [Agenda]"/>
  </connection>
</connections>
</file>

<file path=xl/sharedStrings.xml><?xml version="1.0" encoding="utf-8"?>
<sst xmlns="http://schemas.openxmlformats.org/spreadsheetml/2006/main" count="57" uniqueCount="29">
  <si>
    <t>会議議事録</t>
  </si>
  <si>
    <t>会議名</t>
  </si>
  <si>
    <t>日時</t>
  </si>
  <si>
    <t>場所</t>
  </si>
  <si>
    <t>参加者</t>
  </si>
  <si>
    <t>議題・討議内容</t>
  </si>
  <si>
    <t>No.</t>
  </si>
  <si>
    <t>議題</t>
  </si>
  <si>
    <t>内容・要点</t>
  </si>
  <si>
    <t>決定事項</t>
  </si>
  <si>
    <t>アクション項目</t>
  </si>
  <si>
    <t>対応事項</t>
  </si>
  <si>
    <t>担当</t>
  </si>
  <si>
    <t>期限</t>
  </si>
  <si>
    <t>状況</t>
  </si>
  <si>
    <t>次回会議</t>
  </si>
  <si>
    <t>発言記録</t>
  </si>
  <si>
    <t>発言者</t>
  </si>
  <si>
    <t>発言内容</t>
  </si>
  <si>
    <t>開催日</t>
  </si>
  <si>
    <t>開始時刻</t>
  </si>
  <si>
    <t>終了時刻</t>
  </si>
  <si>
    <t>LineID</t>
  </si>
  <si>
    <t>話者ID</t>
  </si>
  <si>
    <t>議事内容</t>
  </si>
  <si>
    <t>社員ID</t>
  </si>
  <si>
    <t>社員名</t>
  </si>
  <si>
    <t>EMAIL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</si>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</sst>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8"/>
      <color rgb="FFFFFFFF"/>
      <name val="游ゴシック"/>
      <family val="2"/>
      <charset val="128"/>
      <scheme val="minor"/>
    </font>
    <font>
      <b/>
      <sz val="10"/>
      <color theme="1"/>
      <name val="Yu Gothic"/>
      <family val="3"/>
      <charset val="128"/>
    </font>
    <font>
      <b/>
      <sz val="11"/>
      <color rgb="FFFFFFFF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0" xfId="0" applyFont="1">
      <alignment vertical="center"/>
    </xf>
  </cellXfs>
  <cellStyles count="1">
    <cellStyle name="標準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derData_1" backgroundRefresh="0" connectionId="1" xr16:uid="{ABBDD7C3-2FC4-464F-9AF1-B920B7C37FEA}" autoFormatId="2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会議名"/>
      <queryTableField id="2" name="開催日"/>
      <queryTableField id="3" name="開始時刻"/>
      <queryTableField id="4" name="終了時刻"/>
      <queryTableField id="5" name="場所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utesData_1" backgroundRefresh="0" connectionId="2" xr16:uid="{BBCF03EF-9C57-438A-A350-33C45348A27D}" autoFormatId="2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LineID"/>
      <queryTableField id="2" name="開始時刻"/>
      <queryTableField id="3" name="終了時刻"/>
      <queryTableField id="4" name="話者ID"/>
      <queryTableField id="5" name="発言者"/>
      <queryTableField id="6" name="議事内容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ticipantsData_1" backgroundRefresh="0" connectionId="3" xr16:uid="{6EE2F939-01D5-4065-BA93-C2CB639E4850}" autoFormatId="2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話者ID"/>
      <queryTableField id="2" name="社員ID"/>
      <queryTableField id="3" name="社員名"/>
      <queryTableField id="4" name="EMAIL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daData_1" backgroundRefresh="0" connectionId="4" xr16:uid="{EC33AF22-AD22-4F46-9BC1-84A57C8D66D8}" autoFormatId="2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議題"/>
      <queryTableField id="2" name="内容"/>
      <queryTableField id="3" name="決定事項"/>
    </queryTableFields>
  </queryTableRefresh>
</query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41A3C8-9309-4A12-8105-C5313FC85C77}">
  <we:reference id="WA200010215" version="2.0.0.1" store="Omex" storeType="OMEX"/>
  <we:alternateReferences>
    <we:reference id="WA200010215" version="2.0.0.1" store="WA200010215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B6E6-E668-48D3-B769-585C2175D362}">
  <dimension ref="A1:F22"/>
  <sheetViews>
    <sheetView topLeftCell="A9" workbookViewId="0">
      <selection activeCell="J18" sqref="J18"/>
    </sheetView>
  </sheetViews>
  <sheetFormatPr defaultRowHeight="18.75"/>
  <cols>
    <col min="1" max="1" width="8" customWidth="1"/>
    <col min="2" max="2" width="20" customWidth="1"/>
    <col min="3" max="6" width="13.625" customWidth="1"/>
  </cols>
  <sheetData>
    <row r="1" spans="1:6" ht="32.1" customHeight="1">
      <c r="A1" s="12" t="s">
        <v>0</v>
      </c>
      <c r="B1" s="13"/>
      <c r="C1" s="13"/>
      <c r="D1" s="13"/>
      <c r="E1" s="13"/>
      <c r="F1" s="13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15">
        <f>IFERROR(INDEX(header!F:F,2),"")</f>
        <v>0</v>
      </c>
      <c r="C3" s="15"/>
      <c r="D3" s="15"/>
      <c r="E3" s="15"/>
      <c r="F3" s="15"/>
    </row>
    <row r="4" spans="1:6">
      <c r="A4" s="2" t="s">
        <v>2</v>
      </c>
      <c r="B4" s="15" t="str">
        <f>IFERROR(TEXT(INDEX(header!G:G,2),"yyyy/m/d")&amp;" "&amp;TEXT(INDEX(header!H:H,2),"hh:mm")&amp;"～"&amp;TEXT(INDEX(header!I:I,2),"hh:mm"),"")</f>
        <v>1900/1/0 00:00～00:00</v>
      </c>
      <c r="C4" s="15"/>
      <c r="D4" s="2" t="s">
        <v>3</v>
      </c>
      <c r="E4" s="15">
        <f>IFERROR(INDEX(header!J:J,2),"")</f>
        <v>0</v>
      </c>
      <c r="F4" s="15"/>
    </row>
    <row r="5" spans="1:6">
      <c r="A5" s="2" t="s">
        <v>4</v>
      </c>
      <c r="B5" s="15" t="str">
        <f>IFERROR(_xlfn.TEXTJOIN("、",TRUE,participants!G2:G96),"")</f>
        <v/>
      </c>
      <c r="C5" s="15"/>
      <c r="D5" s="15"/>
      <c r="E5" s="15"/>
      <c r="F5" s="15"/>
    </row>
    <row r="6" spans="1:6">
      <c r="A6" s="1"/>
      <c r="B6" s="1"/>
      <c r="C6" s="1"/>
      <c r="D6" s="1"/>
      <c r="E6" s="1"/>
      <c r="F6" s="1"/>
    </row>
    <row r="7" spans="1:6">
      <c r="A7" s="14" t="s">
        <v>5</v>
      </c>
      <c r="B7" s="14"/>
      <c r="C7" s="14"/>
      <c r="D7" s="14"/>
      <c r="E7" s="14"/>
      <c r="F7" s="14"/>
    </row>
    <row r="8" spans="1:6">
      <c r="A8" s="3" t="s">
        <v>6</v>
      </c>
      <c r="B8" s="3" t="s">
        <v>7</v>
      </c>
      <c r="C8" s="16" t="s">
        <v>8</v>
      </c>
      <c r="D8" s="16"/>
      <c r="E8" s="16" t="s">
        <v>9</v>
      </c>
      <c r="F8" s="16"/>
    </row>
    <row r="9" spans="1:6" ht="44.1" customHeight="1">
      <c r="A9" s="4">
        <v>1</v>
      </c>
      <c r="B9" s="5">
        <f>IFERROR(INDEX(Agenda!D:D,2),"")</f>
        <v>0</v>
      </c>
      <c r="C9" s="17">
        <f>IFERROR(INDEX(Agenda!E:E,2),"")</f>
        <v>0</v>
      </c>
      <c r="D9" s="17"/>
      <c r="E9" s="17">
        <f>IFERROR(INDEX(Agenda!F:F,2),"")</f>
        <v>0</v>
      </c>
      <c r="F9" s="17"/>
    </row>
    <row r="10" spans="1:6" ht="44.1" customHeight="1">
      <c r="A10" s="4">
        <v>2</v>
      </c>
      <c r="B10" s="5">
        <f>IFERROR(INDEX(Agenda!D:D,3),"")</f>
        <v>0</v>
      </c>
      <c r="C10" s="17">
        <f>IFERROR(INDEX(Agenda!E:E,3),"")</f>
        <v>0</v>
      </c>
      <c r="D10" s="17"/>
      <c r="E10" s="17">
        <f>IFERROR(INDEX(Agenda!F:F,3),"")</f>
        <v>0</v>
      </c>
      <c r="F10" s="17"/>
    </row>
    <row r="11" spans="1:6" ht="44.1" customHeight="1">
      <c r="A11" s="4">
        <v>3</v>
      </c>
      <c r="B11" s="5">
        <f>IFERROR(INDEX(Agenda!D:D,4),"")</f>
        <v>0</v>
      </c>
      <c r="C11" s="17">
        <f>IFERROR(INDEX(Agenda!E:E,4),"")</f>
        <v>0</v>
      </c>
      <c r="D11" s="17"/>
      <c r="E11" s="17">
        <f>IFERROR(INDEX(Agenda!F:F,4),"")</f>
        <v>0</v>
      </c>
      <c r="F11" s="17"/>
    </row>
    <row r="12" spans="1:6" ht="50.1" customHeight="1">
      <c r="A12" s="4">
        <v>4</v>
      </c>
      <c r="B12" s="5">
        <f>IFERROR(INDEX(Agenda!D:D,5),"")</f>
        <v>0</v>
      </c>
      <c r="C12" s="17">
        <f>IFERROR(INDEX(Agenda!E:E,5),"")</f>
        <v>0</v>
      </c>
      <c r="D12" s="17"/>
      <c r="E12" s="17">
        <f>IFERROR(INDEX(Agenda!F:F,5),"")</f>
        <v>0</v>
      </c>
      <c r="F12" s="17"/>
    </row>
    <row r="13" spans="1:6" ht="38.1" customHeight="1">
      <c r="A13" s="4">
        <v>5</v>
      </c>
      <c r="B13" s="5">
        <f>IFERROR(INDEX(Agenda!D:D,6),"")</f>
        <v>0</v>
      </c>
      <c r="C13" s="17">
        <f>IFERROR(INDEX(Agenda!E:E,6),"")</f>
        <v>0</v>
      </c>
      <c r="D13" s="17"/>
      <c r="E13" s="17">
        <f>IFERROR(INDEX(Agenda!F:F,6),"")</f>
        <v>0</v>
      </c>
      <c r="F13" s="17"/>
    </row>
    <row r="14" spans="1:6">
      <c r="A14" s="1"/>
      <c r="B14" s="1"/>
      <c r="C14" s="1"/>
      <c r="D14" s="1"/>
      <c r="E14" s="1"/>
      <c r="F14" s="1"/>
    </row>
    <row r="15" spans="1:6">
      <c r="A15" s="14" t="s">
        <v>10</v>
      </c>
      <c r="B15" s="14"/>
      <c r="C15" s="14"/>
      <c r="D15" s="14"/>
      <c r="E15" s="14"/>
      <c r="F15" s="14"/>
    </row>
    <row r="16" spans="1:6">
      <c r="A16" s="3" t="s">
        <v>6</v>
      </c>
      <c r="B16" s="16" t="s">
        <v>11</v>
      </c>
      <c r="C16" s="16"/>
      <c r="D16" s="3" t="s">
        <v>12</v>
      </c>
      <c r="E16" s="3" t="s">
        <v>13</v>
      </c>
      <c r="F16" s="3" t="s">
        <v>14</v>
      </c>
    </row>
    <row r="17" spans="1:6" ht="51.95" customHeight="1">
      <c r="A17" s="4">
        <v>1</v>
      </c>
      <c r="B17" s="18">
        <f>IFERROR(INDEX(Agenda!F:F,5),"")</f>
        <v>0</v>
      </c>
      <c r="C17" s="19"/>
      <c r="D17" s="4"/>
      <c r="E17" s="6"/>
      <c r="F17" s="4"/>
    </row>
    <row r="18" spans="1:6" ht="33.950000000000003" customHeight="1">
      <c r="A18" s="4">
        <v>2</v>
      </c>
      <c r="B18" s="18">
        <f>IFERROR(INDEX(Agenda!F:F,6),"")</f>
        <v>0</v>
      </c>
      <c r="C18" s="19"/>
      <c r="D18" s="4"/>
      <c r="E18" s="6"/>
      <c r="F18" s="4"/>
    </row>
    <row r="19" spans="1:6" ht="26.1" customHeight="1">
      <c r="A19" s="4">
        <v>3</v>
      </c>
      <c r="B19" s="18">
        <f>IFERROR(INDEX(Agenda!F:F,7),"")</f>
        <v>0</v>
      </c>
      <c r="C19" s="19"/>
      <c r="D19" s="4"/>
      <c r="E19" s="6"/>
      <c r="F19" s="4"/>
    </row>
    <row r="20" spans="1:6" ht="26.1" customHeight="1">
      <c r="A20" s="4">
        <v>4</v>
      </c>
      <c r="B20" s="18">
        <f>IFERROR(INDEX(Agenda!F:F,8),"")</f>
        <v>0</v>
      </c>
      <c r="C20" s="19"/>
      <c r="D20" s="4"/>
      <c r="E20" s="6"/>
      <c r="F20" s="4"/>
    </row>
    <row r="21" spans="1:6" ht="26.1" customHeight="1">
      <c r="A21" s="7">
        <v>5</v>
      </c>
      <c r="B21" s="18">
        <f>IFERROR(INDEX(Agenda!F:F,9),"")</f>
        <v>0</v>
      </c>
      <c r="C21" s="19"/>
      <c r="D21" s="4"/>
      <c r="E21" s="8"/>
      <c r="F21" s="7"/>
    </row>
    <row r="22" spans="1:6">
      <c r="A22" s="2" t="s">
        <v>15</v>
      </c>
      <c r="B22" s="15"/>
      <c r="C22" s="15"/>
      <c r="D22" s="15"/>
      <c r="E22" s="15"/>
      <c r="F22" s="15"/>
    </row>
  </sheetData>
  <mergeCells count="26">
    <mergeCell ref="B21:C21"/>
    <mergeCell ref="B22:F22"/>
    <mergeCell ref="A15:F15"/>
    <mergeCell ref="B16:C16"/>
    <mergeCell ref="B17:C17"/>
    <mergeCell ref="B18:C18"/>
    <mergeCell ref="B19:C19"/>
    <mergeCell ref="B20:C20"/>
    <mergeCell ref="C11:D11"/>
    <mergeCell ref="E11:F11"/>
    <mergeCell ref="C12:D12"/>
    <mergeCell ref="E12:F12"/>
    <mergeCell ref="C13:D13"/>
    <mergeCell ref="E13:F13"/>
    <mergeCell ref="C8:D8"/>
    <mergeCell ref="E8:F8"/>
    <mergeCell ref="C9:D9"/>
    <mergeCell ref="E9:F9"/>
    <mergeCell ref="C10:D10"/>
    <mergeCell ref="E10:F10"/>
    <mergeCell ref="A7:F7"/>
    <mergeCell ref="A1:F1"/>
    <mergeCell ref="B3:F3"/>
    <mergeCell ref="B4:C4"/>
    <mergeCell ref="E4:F4"/>
    <mergeCell ref="B5:F5"/>
  </mergeCells>
  <phoneticPr fontId="5"/>
  <conditionalFormatting sqref="B17:C21">
    <cfRule type="cellIs" dxfId="2" priority="1" operator="equal">
      <formula>0</formula>
    </cfRule>
  </conditionalFormatting>
  <conditionalFormatting sqref="B9:F13">
    <cfRule type="cellIs" dxfId="1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0E98-0924-47A7-B120-CE308762F771}">
  <dimension ref="A1"/>
  <sheetViews>
    <sheetView workbookViewId="0"/>
  </sheetViews>
  <sheetFormatPr defaultRowHeight="18.75"/>
  <sheetData>
    <row r="1" spans="1:1">
      <c r="A1" t="str">
        <f ca="1">LEFT(CELL("filename",A1),FIND("[",CELL("filename",A1))-1)</f>
        <v>C:\BPBOX\Dropbox\git\agent-guidelines-main\meeting-minutes\template\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1051-ACB2-479F-B531-74E67EEB79D1}">
  <dimension ref="A1:C24"/>
  <sheetViews>
    <sheetView tabSelected="1" workbookViewId="0">
      <selection activeCell="I16" sqref="I16"/>
    </sheetView>
  </sheetViews>
  <sheetFormatPr defaultRowHeight="18.75"/>
  <cols>
    <col min="1" max="1" width="8" customWidth="1"/>
    <col min="2" max="2" width="18.375" customWidth="1"/>
    <col min="3" max="3" width="60" customWidth="1"/>
  </cols>
  <sheetData>
    <row r="1" spans="1:3" ht="32.1" customHeight="1">
      <c r="A1" s="12" t="s">
        <v>16</v>
      </c>
      <c r="B1" s="13"/>
      <c r="C1" s="13"/>
    </row>
    <row r="2" spans="1:3">
      <c r="A2" s="1"/>
      <c r="B2" s="1"/>
      <c r="C2" s="1"/>
    </row>
    <row r="3" spans="1:3">
      <c r="A3" s="3" t="s">
        <v>6</v>
      </c>
      <c r="B3" s="3" t="s">
        <v>17</v>
      </c>
      <c r="C3" s="3" t="s">
        <v>18</v>
      </c>
    </row>
    <row r="4" spans="1:3">
      <c r="A4" s="4">
        <v>1</v>
      </c>
      <c r="B4" s="5">
        <f>IFERROR(INDEX(minutes!K:K,2),"")</f>
        <v>0</v>
      </c>
      <c r="C4" s="5">
        <f>IFERROR(INDEX(minutes!L:L,2),"")</f>
        <v>0</v>
      </c>
    </row>
    <row r="5" spans="1:3">
      <c r="A5" s="4">
        <v>2</v>
      </c>
      <c r="B5" s="5">
        <f>IFERROR(INDEX(minutes!K:K,3),"")</f>
        <v>0</v>
      </c>
      <c r="C5" s="5">
        <f>IFERROR(INDEX(minutes!L:L,3),"")</f>
        <v>0</v>
      </c>
    </row>
    <row r="6" spans="1:3">
      <c r="A6" s="4">
        <v>3</v>
      </c>
      <c r="B6" s="5">
        <f>IFERROR(INDEX(minutes!K:K,4),"")</f>
        <v>0</v>
      </c>
      <c r="C6" s="5">
        <f>IFERROR(INDEX(minutes!L:L,4),"")</f>
        <v>0</v>
      </c>
    </row>
    <row r="7" spans="1:3">
      <c r="A7" s="4">
        <v>4</v>
      </c>
      <c r="B7" s="5">
        <f>IFERROR(INDEX(minutes!K:K,5),"")</f>
        <v>0</v>
      </c>
      <c r="C7" s="5">
        <f>IFERROR(INDEX(minutes!L:L,5),"")</f>
        <v>0</v>
      </c>
    </row>
    <row r="8" spans="1:3">
      <c r="A8" s="4">
        <v>5</v>
      </c>
      <c r="B8" s="5">
        <f>IFERROR(INDEX(minutes!K:K,6),"")</f>
        <v>0</v>
      </c>
      <c r="C8" s="5">
        <f>IFERROR(INDEX(minutes!L:L,6),"")</f>
        <v>0</v>
      </c>
    </row>
    <row r="9" spans="1:3">
      <c r="A9" s="4">
        <v>6</v>
      </c>
      <c r="B9" s="5">
        <f>IFERROR(INDEX(minutes!K:K,7),"")</f>
        <v>0</v>
      </c>
      <c r="C9" s="5">
        <f>IFERROR(INDEX(minutes!L:L,7),"")</f>
        <v>0</v>
      </c>
    </row>
    <row r="10" spans="1:3">
      <c r="A10" s="4">
        <v>7</v>
      </c>
      <c r="B10" s="5">
        <f>IFERROR(INDEX(minutes!K:K,8),"")</f>
        <v>0</v>
      </c>
      <c r="C10" s="5">
        <f>IFERROR(INDEX(minutes!L:L,8),"")</f>
        <v>0</v>
      </c>
    </row>
    <row r="11" spans="1:3">
      <c r="A11" s="4">
        <v>8</v>
      </c>
      <c r="B11" s="5">
        <f>IFERROR(INDEX(minutes!K:K,9),"")</f>
        <v>0</v>
      </c>
      <c r="C11" s="5">
        <f>IFERROR(INDEX(minutes!L:L,9),"")</f>
        <v>0</v>
      </c>
    </row>
    <row r="12" spans="1:3">
      <c r="A12" s="4">
        <v>9</v>
      </c>
      <c r="B12" s="5">
        <f>IFERROR(INDEX(minutes!K:K,10),"")</f>
        <v>0</v>
      </c>
      <c r="C12" s="5">
        <f>IFERROR(INDEX(minutes!L:L,10),"")</f>
        <v>0</v>
      </c>
    </row>
    <row r="13" spans="1:3">
      <c r="A13" s="4">
        <v>10</v>
      </c>
      <c r="B13" s="5">
        <f>IFERROR(INDEX(minutes!K:K,11),"")</f>
        <v>0</v>
      </c>
      <c r="C13" s="5">
        <f>IFERROR(INDEX(minutes!L:L,11),"")</f>
        <v>0</v>
      </c>
    </row>
    <row r="14" spans="1:3">
      <c r="A14" s="4">
        <v>11</v>
      </c>
      <c r="B14" s="5">
        <f>IFERROR(INDEX(minutes!K:K,12),"")</f>
        <v>0</v>
      </c>
      <c r="C14" s="5">
        <f>IFERROR(INDEX(minutes!L:L,12),"")</f>
        <v>0</v>
      </c>
    </row>
    <row r="15" spans="1:3">
      <c r="A15" s="4">
        <v>12</v>
      </c>
      <c r="B15" s="5">
        <f>IFERROR(INDEX(minutes!K:K,13),"")</f>
        <v>0</v>
      </c>
      <c r="C15" s="5">
        <f>IFERROR(INDEX(minutes!L:L,13),"")</f>
        <v>0</v>
      </c>
    </row>
    <row r="16" spans="1:3">
      <c r="A16" s="4">
        <v>13</v>
      </c>
      <c r="B16" s="5">
        <f>IFERROR(INDEX(minutes!K:K,14),"")</f>
        <v>0</v>
      </c>
      <c r="C16" s="5">
        <f>IFERROR(INDEX(minutes!L:L,14),"")</f>
        <v>0</v>
      </c>
    </row>
    <row r="17" spans="1:3">
      <c r="A17" s="4">
        <v>14</v>
      </c>
      <c r="B17" s="5">
        <f>IFERROR(INDEX(minutes!K:K,15),"")</f>
        <v>0</v>
      </c>
      <c r="C17" s="5">
        <f>IFERROR(INDEX(minutes!L:L,15),"")</f>
        <v>0</v>
      </c>
    </row>
    <row r="18" spans="1:3">
      <c r="A18" s="4">
        <v>15</v>
      </c>
      <c r="B18" s="5">
        <f>IFERROR(INDEX(minutes!K:K,16),"")</f>
        <v>0</v>
      </c>
      <c r="C18" s="5">
        <f>IFERROR(INDEX(minutes!L:L,16),"")</f>
        <v>0</v>
      </c>
    </row>
    <row r="19" spans="1:3">
      <c r="A19" s="4">
        <v>16</v>
      </c>
      <c r="B19" s="5">
        <f>IFERROR(INDEX(minutes!K:K,17),"")</f>
        <v>0</v>
      </c>
      <c r="C19" s="5">
        <f>IFERROR(INDEX(minutes!L:L,17),"")</f>
        <v>0</v>
      </c>
    </row>
    <row r="20" spans="1:3">
      <c r="A20" s="4">
        <v>17</v>
      </c>
      <c r="B20" s="5">
        <f>IFERROR(INDEX(minutes!K:K,18),"")</f>
        <v>0</v>
      </c>
      <c r="C20" s="5">
        <f>IFERROR(INDEX(minutes!L:L,18),"")</f>
        <v>0</v>
      </c>
    </row>
    <row r="21" spans="1:3">
      <c r="A21" s="4">
        <v>18</v>
      </c>
      <c r="B21" s="5">
        <f>IFERROR(INDEX(minutes!K:K,19),"")</f>
        <v>0</v>
      </c>
      <c r="C21" s="5">
        <f>IFERROR(INDEX(minutes!L:L,19),"")</f>
        <v>0</v>
      </c>
    </row>
    <row r="22" spans="1:3">
      <c r="A22" s="4">
        <v>19</v>
      </c>
      <c r="B22" s="5">
        <f>IFERROR(INDEX(minutes!K:K,20),"")</f>
        <v>0</v>
      </c>
      <c r="C22" s="5">
        <f>IFERROR(INDEX(minutes!L:L,20),"")</f>
        <v>0</v>
      </c>
    </row>
    <row r="23" spans="1:3">
      <c r="A23" s="4">
        <v>20</v>
      </c>
      <c r="B23" s="5">
        <f>IFERROR(INDEX(minutes!K:K,21),"")</f>
        <v>0</v>
      </c>
      <c r="C23" s="5">
        <f>IFERROR(INDEX(minutes!L:L,21),"")</f>
        <v>0</v>
      </c>
    </row>
    <row r="24" spans="1:3">
      <c r="A24" s="4">
        <v>21</v>
      </c>
      <c r="B24" s="5">
        <f>IFERROR(INDEX(minutes!K:K,22),"")</f>
        <v>0</v>
      </c>
      <c r="C24" s="5">
        <f>IFERROR(INDEX(minutes!L:L,22),"")</f>
        <v>0</v>
      </c>
    </row>
  </sheetData>
  <mergeCells count="1">
    <mergeCell ref="A1:C1"/>
  </mergeCells>
  <phoneticPr fontId="5"/>
  <conditionalFormatting sqref="B4:C2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4B10-42A6-44F4-9235-6B9402B2E6D8}">
  <dimension ref="A1:J2"/>
  <sheetViews>
    <sheetView workbookViewId="0">
      <selection activeCell="I27" sqref="I27"/>
    </sheetView>
  </sheetViews>
  <sheetFormatPr defaultRowHeight="18.75"/>
  <cols>
    <col min="1" max="2" width="7.375" bestFit="1" customWidth="1"/>
    <col min="3" max="4" width="9.25" bestFit="1" customWidth="1"/>
    <col min="5" max="5" width="5.5" bestFit="1" customWidth="1"/>
    <col min="6" max="7" width="7.125" bestFit="1" customWidth="1"/>
    <col min="10" max="10" width="5.25" bestFit="1" customWidth="1"/>
  </cols>
  <sheetData>
    <row r="1" spans="1:10">
      <c r="A1" s="20" t="s">
        <v>1</v>
      </c>
      <c r="B1" s="20" t="s">
        <v>19</v>
      </c>
      <c r="C1" s="20" t="s">
        <v>20</v>
      </c>
      <c r="D1" s="20" t="s">
        <v>21</v>
      </c>
      <c r="E1" s="20" t="s">
        <v>3</v>
      </c>
      <c r="F1" t="s">
        <v>1</v>
      </c>
      <c r="G1" t="s">
        <v>19</v>
      </c>
      <c r="H1" t="s">
        <v>20</v>
      </c>
      <c r="I1" t="s">
        <v>21</v>
      </c>
      <c r="J1" t="s">
        <v>3</v>
      </c>
    </row>
    <row r="2" spans="1:10">
      <c r="G2" s="9"/>
      <c r="H2" s="10"/>
      <c r="I2" s="10"/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7DBE-BE1D-44FD-9ACF-0B6169C24A1A}">
  <dimension ref="A1:L22"/>
  <sheetViews>
    <sheetView workbookViewId="0">
      <selection activeCell="H22" sqref="H22"/>
    </sheetView>
  </sheetViews>
  <sheetFormatPr defaultRowHeight="18.75"/>
  <cols>
    <col min="1" max="1" width="7.75" bestFit="1" customWidth="1"/>
    <col min="2" max="3" width="9.25" bestFit="1" customWidth="1"/>
    <col min="4" max="4" width="7.625" bestFit="1" customWidth="1"/>
    <col min="5" max="5" width="7.375" bestFit="1" customWidth="1"/>
    <col min="6" max="6" width="9.25" bestFit="1" customWidth="1"/>
    <col min="7" max="7" width="7.125" bestFit="1" customWidth="1"/>
    <col min="10" max="11" width="7.125" bestFit="1" customWidth="1"/>
    <col min="12" max="12" width="9" bestFit="1" customWidth="1"/>
  </cols>
  <sheetData>
    <row r="1" spans="1:12">
      <c r="A1" s="20" t="s">
        <v>22</v>
      </c>
      <c r="B1" s="20" t="s">
        <v>20</v>
      </c>
      <c r="C1" s="20" t="s">
        <v>21</v>
      </c>
      <c r="D1" s="20" t="s">
        <v>23</v>
      </c>
      <c r="E1" s="20" t="s">
        <v>17</v>
      </c>
      <c r="F1" s="20" t="s">
        <v>24</v>
      </c>
      <c r="G1" t="s">
        <v>22</v>
      </c>
      <c r="H1" t="s">
        <v>20</v>
      </c>
      <c r="I1" t="s">
        <v>21</v>
      </c>
      <c r="J1" t="s">
        <v>23</v>
      </c>
      <c r="K1" t="s">
        <v>17</v>
      </c>
      <c r="L1" t="s">
        <v>24</v>
      </c>
    </row>
    <row r="2" spans="1:12">
      <c r="H2" s="11"/>
      <c r="I2" s="11"/>
    </row>
    <row r="3" spans="1:12">
      <c r="H3" s="11"/>
      <c r="I3" s="11"/>
    </row>
    <row r="4" spans="1:12">
      <c r="H4" s="11"/>
      <c r="I4" s="11"/>
    </row>
    <row r="5" spans="1:12">
      <c r="H5" s="11"/>
      <c r="I5" s="11"/>
    </row>
    <row r="6" spans="1:12">
      <c r="H6" s="11"/>
      <c r="I6" s="11"/>
    </row>
    <row r="7" spans="1:12">
      <c r="H7" s="11"/>
      <c r="I7" s="11"/>
    </row>
    <row r="8" spans="1:12">
      <c r="H8" s="11"/>
      <c r="I8" s="11"/>
    </row>
    <row r="9" spans="1:12">
      <c r="H9" s="11"/>
      <c r="I9" s="11"/>
    </row>
    <row r="10" spans="1:12">
      <c r="H10" s="11"/>
      <c r="I10" s="11"/>
    </row>
    <row r="11" spans="1:12">
      <c r="H11" s="11"/>
      <c r="I11" s="11"/>
    </row>
    <row r="12" spans="1:12">
      <c r="H12" s="11"/>
      <c r="I12" s="11"/>
    </row>
    <row r="13" spans="1:12">
      <c r="H13" s="11"/>
      <c r="I13" s="11"/>
    </row>
    <row r="14" spans="1:12">
      <c r="H14" s="11"/>
      <c r="I14" s="11"/>
    </row>
    <row r="15" spans="1:12">
      <c r="H15" s="11"/>
      <c r="I15" s="11"/>
    </row>
    <row r="16" spans="1:12">
      <c r="H16" s="11"/>
      <c r="I16" s="11"/>
    </row>
    <row r="17" spans="8:9">
      <c r="H17" s="11"/>
      <c r="I17" s="11"/>
    </row>
    <row r="18" spans="8:9">
      <c r="H18" s="11"/>
      <c r="I18" s="11"/>
    </row>
    <row r="19" spans="8:9">
      <c r="H19" s="11"/>
      <c r="I19" s="11"/>
    </row>
    <row r="20" spans="8:9">
      <c r="H20" s="11"/>
      <c r="I20" s="11"/>
    </row>
    <row r="21" spans="8:9">
      <c r="H21" s="11"/>
      <c r="I21" s="11"/>
    </row>
    <row r="22" spans="8:9">
      <c r="H22" s="11"/>
      <c r="I22" s="11"/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E14F-5618-47D7-B693-D0846DD3700D}">
  <dimension ref="A1:H1"/>
  <sheetViews>
    <sheetView workbookViewId="0">
      <selection activeCell="J21" sqref="J21"/>
    </sheetView>
  </sheetViews>
  <sheetFormatPr defaultRowHeight="18.75"/>
  <cols>
    <col min="1" max="2" width="7.625" bestFit="1" customWidth="1"/>
    <col min="3" max="3" width="7.375" bestFit="1" customWidth="1"/>
    <col min="4" max="4" width="7.75" bestFit="1" customWidth="1"/>
    <col min="5" max="7" width="7.125" bestFit="1" customWidth="1"/>
    <col min="8" max="8" width="7.25" bestFit="1" customWidth="1"/>
  </cols>
  <sheetData>
    <row r="1" spans="1:8">
      <c r="A1" s="20" t="s">
        <v>23</v>
      </c>
      <c r="B1" s="20" t="s">
        <v>25</v>
      </c>
      <c r="C1" s="20" t="s">
        <v>26</v>
      </c>
      <c r="D1" s="20" t="s">
        <v>27</v>
      </c>
      <c r="E1" t="s">
        <v>23</v>
      </c>
      <c r="F1" t="s">
        <v>25</v>
      </c>
      <c r="G1" t="s">
        <v>26</v>
      </c>
      <c r="H1" t="s">
        <v>27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A6A5-4BE9-4D66-B12B-42748EDA896B}">
  <dimension ref="A1:F1"/>
  <sheetViews>
    <sheetView workbookViewId="0">
      <selection activeCell="H20" sqref="H20"/>
    </sheetView>
  </sheetViews>
  <sheetFormatPr defaultRowHeight="18.75"/>
  <cols>
    <col min="1" max="2" width="5.5" bestFit="1" customWidth="1"/>
    <col min="3" max="3" width="9.25" bestFit="1" customWidth="1"/>
    <col min="4" max="5" width="5.25" bestFit="1" customWidth="1"/>
    <col min="6" max="6" width="9" bestFit="1" customWidth="1"/>
  </cols>
  <sheetData>
    <row r="1" spans="1:6">
      <c r="A1" s="20" t="s">
        <v>7</v>
      </c>
      <c r="B1" s="20" t="s">
        <v>28</v>
      </c>
      <c r="C1" s="20" t="s">
        <v>9</v>
      </c>
      <c r="D1" t="s">
        <v>7</v>
      </c>
      <c r="E1" t="s">
        <v>28</v>
      </c>
      <c r="F1" t="s">
        <v>9</v>
      </c>
    </row>
  </sheetData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D3940-90B4-4AC2-8483-1251E11D9E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議事録</vt:lpstr>
      <vt:lpstr>発言記録</vt:lpstr>
      <vt:lpstr>header</vt:lpstr>
      <vt:lpstr>minutes</vt:lpstr>
      <vt:lpstr>participants</vt:lpstr>
      <vt:lpstr>Agenda</vt:lpstr>
      <vt:lpstr>Agenda!AgendaData</vt:lpstr>
      <vt:lpstr>Agenda!AgendaData_1</vt:lpstr>
      <vt:lpstr>BasePath</vt:lpstr>
      <vt:lpstr>header!HeaderData</vt:lpstr>
      <vt:lpstr>header!HeaderData_1</vt:lpstr>
      <vt:lpstr>minutes!MinutesData</vt:lpstr>
      <vt:lpstr>minutes!MinutesData_1</vt:lpstr>
      <vt:lpstr>participants!ParticipantsData</vt:lpstr>
      <vt:lpstr>participants!ParticipantsData_1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浅井俊行</dc:creator>
  <cp:lastModifiedBy>浅井俊行</cp:lastModifiedBy>
  <dcterms:created xsi:type="dcterms:W3CDTF">2026-10-05T07:26:49Z</dcterms:created>
  <dcterms:modified xsi:type="dcterms:W3CDTF">2026-10-09T05:55:27Z</dcterms:modified>
</cp:coreProperties>
</file>