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PBOX\Dropbox\git\agent-guidelines-main\meeting-minutes\output\20260904-experience-event\"/>
    </mc:Choice>
  </mc:AlternateContent>
  <xr:revisionPtr revIDLastSave="0" documentId="13_ncr:1_{18781164-C73C-458A-B0A2-8E38E47DA3D9}" xr6:coauthVersionLast="47" xr6:coauthVersionMax="47" xr10:uidLastSave="{00000000-0000-0000-0000-000000000000}"/>
  <bookViews>
    <workbookView xWindow="-28920" yWindow="1260" windowWidth="29040" windowHeight="15720" activeTab="1" xr2:uid="{B4469277-6AB8-44DD-BEDB-72AE7C942BB4}"/>
  </bookViews>
  <sheets>
    <sheet name="議事録" sheetId="1" r:id="rId1"/>
    <sheet name="発言記録" sheetId="2" r:id="rId2"/>
    <sheet name="header" sheetId="4" r:id="rId3"/>
    <sheet name="minutes" sheetId="5" r:id="rId4"/>
    <sheet name="participants" sheetId="7" r:id="rId5"/>
    <sheet name="Agenda" sheetId="8" r:id="rId6"/>
  </sheets>
  <definedNames>
    <definedName name="AgendaData" localSheetId="5">Agenda!$A$1:$C$1</definedName>
    <definedName name="HeaderData" localSheetId="2">header!$A$1:$E$2</definedName>
    <definedName name="MinutesData" localSheetId="3">minutes!$A$1:$F$22</definedName>
    <definedName name="ParticipantsData" localSheetId="4">participants!$A$1:$D$1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1" i="1" l="1"/>
  <c r="B20" i="1"/>
  <c r="B19" i="1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B18" i="1"/>
  <c r="B17" i="1"/>
  <c r="E13" i="1"/>
  <c r="C13" i="1"/>
  <c r="B13" i="1"/>
  <c r="E12" i="1"/>
  <c r="C12" i="1"/>
  <c r="B12" i="1"/>
  <c r="E11" i="1"/>
  <c r="C11" i="1"/>
  <c r="B11" i="1"/>
  <c r="E10" i="1"/>
  <c r="C10" i="1"/>
  <c r="B10" i="1"/>
  <c r="E9" i="1"/>
  <c r="C9" i="1"/>
  <c r="B9" i="1"/>
  <c r="B5" i="1"/>
  <c r="E4" i="1"/>
  <c r="B4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49172E-9D6F-442C-8CAB-07E326E25D55}" name="Agenda" type="6" refreshedVersion="8" refreshOnLoad="0" saveData="1">
    <textPr prompt="0" codePage="65001" sourceFile="C:\BPBOX\Dropbox\git\agent-guidelines-main\meeting-minutes\output\20260904-experience-event\Agenda.csv" comma="1">
      <textFields>
        <textField/>
      </textFields>
    </textPr>
  </connection>
  <connection id="2" xr16:uid="{C6E38BCA-F381-46E6-BF4C-152D70B35840}" name="header" type="6" refreshedVersion="8" refreshOnLoad="0" saveData="1">
    <textPr prompt="0" codePage="65001" sourceFile="C:\BPBOX\Dropbox\git\agent-guidelines-main\meeting-minutes\output\20260904-experience-event\header.csv" comma="1">
      <textFields>
        <textField/>
      </textFields>
    </textPr>
  </connection>
  <connection id="3" xr16:uid="{598387A8-4BBB-4C1D-896E-F14A3C999C20}" name="minutes" type="6" refreshedVersion="8" refreshOnLoad="0" saveData="1">
    <textPr prompt="0" codePage="65001" sourceFile="C:\BPBOX\Dropbox\git\agent-guidelines-main\meeting-minutes\output\20260904-experience-event\minutes.csv" comma="1">
      <textFields>
        <textField/>
      </textFields>
    </textPr>
  </connection>
  <connection id="4" xr16:uid="{AF793D4D-98CC-4F46-92B7-6EBAFB4436E8}" name="participants" type="6" refreshedVersion="8" refreshOnLoad="0" saveData="1">
    <textPr prompt="0" codePage="65001" sourceFile="C:\BPBOX\Dropbox\git\agent-guidelines-main\meeting-minutes\output\20260904-experience-event\participants.csv" comma="1">
      <textFields>
        <textField/>
      </textFields>
    </textPr>
  </connection>
</connections>
</file>

<file path=xl/sharedStrings.xml><?xml version="1.0" encoding="utf-8"?>
<sst xmlns="http://schemas.openxmlformats.org/spreadsheetml/2006/main" count="39" uniqueCount="29">
  <si>
    <t>会議議事録</t>
  </si>
  <si>
    <t>会議名</t>
  </si>
  <si>
    <t>日時</t>
  </si>
  <si>
    <t>場所</t>
  </si>
  <si>
    <t>参加者</t>
  </si>
  <si>
    <t>議題・討議内容</t>
  </si>
  <si>
    <t>No.</t>
  </si>
  <si>
    <t>議題</t>
  </si>
  <si>
    <t>内容・要点</t>
  </si>
  <si>
    <t>決定事項</t>
  </si>
  <si>
    <t>アクション項目</t>
  </si>
  <si>
    <t>対応事項</t>
  </si>
  <si>
    <t>担当</t>
  </si>
  <si>
    <t>期限</t>
  </si>
  <si>
    <t>状況</t>
  </si>
  <si>
    <t>次回会議</t>
  </si>
  <si>
    <t>発言記録</t>
  </si>
  <si>
    <t>発言者</t>
  </si>
  <si>
    <t>発言内容</t>
  </si>
  <si>
    <t>開催日</t>
  </si>
  <si>
    <t>開始時刻</t>
  </si>
  <si>
    <t>終了時刻</t>
  </si>
  <si>
    <t>LineID</t>
  </si>
  <si>
    <t>話者ID</t>
  </si>
  <si>
    <t>議事内容</t>
  </si>
  <si>
    <t>社員ID</t>
  </si>
  <si>
    <t>社員名</t>
  </si>
  <si>
    <t>EMAIL</t>
  </si>
  <si>
    <t>内容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</si>
</sst>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10"/>
      <color theme="1"/>
      <name val="Yu Gothic"/>
      <family val="3"/>
      <charset val="128"/>
    </font>
    <font>
      <b/>
      <sz val="18"/>
      <color rgb="FFFFFFFF"/>
      <name val="游ゴシック"/>
      <family val="2"/>
      <charset val="128"/>
      <scheme val="minor"/>
    </font>
    <font>
      <b/>
      <sz val="10"/>
      <color theme="1"/>
      <name val="Yu Gothic"/>
      <family val="3"/>
      <charset val="128"/>
    </font>
    <font>
      <b/>
      <sz val="11"/>
      <color rgb="FFFFFFFF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20" fontId="0" fillId="0" borderId="0" xfId="0" applyNumberFormat="1">
      <alignment vertical="center"/>
    </xf>
    <xf numFmtId="47" fontId="0" fillId="0" borderId="0" xfId="0" applyNumberFormat="1">
      <alignment vertical="center"/>
    </xf>
    <xf numFmtId="0" fontId="0" fillId="0" borderId="1" xfId="0" applyBorder="1">
      <alignment vertical="center"/>
    </xf>
    <xf numFmtId="0" fontId="4" fillId="2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0" fillId="0" borderId="0" xfId="0">
      <alignment vertical="center"/>
    </xf>
  </cellXfs>
  <cellStyles count="1">
    <cellStyle name="標準" xfId="0" builtinId="0"/>
  </cellStyles>
  <dxfs count="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HeaderData" backgroundRefresh="0" refreshOnLoad="0" connectionId="2" xr16:uid="{163C42D3-FC22-417A-B599-94AA2F8BFA62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inutesData" backgroundRefresh="0" refreshOnLoad="0" connectionId="3" xr16:uid="{FDE154B2-E688-4295-ADA4-799EF5185336}" autoFormatId="20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articipantsData" backgroundRefresh="0" refreshOnLoad="0" connectionId="4" xr16:uid="{F2B7CAA1-BB71-448A-93B6-DE357C20593C}" autoFormatId="20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gendaData" backgroundRefresh="0" refreshOnLoad="0" connectionId="1" xr16:uid="{2CB6C54C-7BDB-4567-8292-085457C2A8F2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541A3C8-9309-4A12-8105-C5313FC85C77}">
  <we:reference id="WA200010215" version="2.0.0.1" store="Omex" storeType="OMEX"/>
  <we:alternateReferences>
    <we:reference id="WA200010215" version="2.0.0.1" store="WA200010215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4B6E6-E668-48D3-B769-585C2175D362}">
  <dimension ref="A1:F22"/>
  <sheetViews>
    <sheetView topLeftCell="A9" workbookViewId="0">
      <selection activeCell="J18" sqref="J18"/>
    </sheetView>
  </sheetViews>
  <sheetFormatPr defaultRowHeight="18.75"/>
  <cols>
    <col min="1" max="1" width="8" customWidth="1"/>
    <col min="2" max="2" width="20" customWidth="1"/>
    <col min="3" max="6" width="13.625" customWidth="1"/>
  </cols>
  <sheetData>
    <row r="1" spans="1:6" ht="32.1" customHeight="1">
      <c r="A1" s="18" t="s">
        <v>0</v>
      </c>
      <c r="B1" s="19"/>
      <c r="C1" s="19"/>
      <c r="D1" s="19"/>
      <c r="E1" s="19"/>
      <c r="F1" s="19"/>
    </row>
    <row r="2" spans="1:6">
      <c r="A2" s="1"/>
      <c r="B2" s="1"/>
      <c r="C2" s="1"/>
      <c r="D2" s="1"/>
      <c r="E2" s="1"/>
      <c r="F2" s="1"/>
    </row>
    <row r="3" spans="1:6">
      <c r="A3" s="2" t="s">
        <v>1</v>
      </c>
      <c r="B3" s="12">
        <f>IFERROR(INDEX(header!A:A,2),"")</f>
        <v>0</v>
      </c>
      <c r="C3" s="12"/>
      <c r="D3" s="12"/>
      <c r="E3" s="12"/>
      <c r="F3" s="12"/>
    </row>
    <row r="4" spans="1:6">
      <c r="A4" s="2" t="s">
        <v>2</v>
      </c>
      <c r="B4" s="12" t="str">
        <f>IFERROR(TEXT(INDEX(header!B:B,2),"yyyy/m/d")&amp;" "&amp;TEXT(INDEX(header!C:C,2),"hh:mm")&amp;"～"&amp;TEXT(INDEX(header!D:D,2),"hh:mm"),"")</f>
        <v>1900/1/0 00:00～00:00</v>
      </c>
      <c r="C4" s="12"/>
      <c r="D4" s="2" t="s">
        <v>3</v>
      </c>
      <c r="E4" s="12">
        <f>IFERROR(INDEX(header!E:E,2),"")</f>
        <v>0</v>
      </c>
      <c r="F4" s="12"/>
    </row>
    <row r="5" spans="1:6">
      <c r="A5" s="2" t="s">
        <v>4</v>
      </c>
      <c r="B5" s="12" t="str">
        <f>IFERROR(_xlfn.TEXTJOIN("、",TRUE,participants!C2:C96),"")</f>
        <v/>
      </c>
      <c r="C5" s="12"/>
      <c r="D5" s="12"/>
      <c r="E5" s="12"/>
      <c r="F5" s="12"/>
    </row>
    <row r="6" spans="1:6">
      <c r="A6" s="1"/>
      <c r="B6" s="1"/>
      <c r="C6" s="1"/>
      <c r="D6" s="1"/>
      <c r="E6" s="1"/>
      <c r="F6" s="1"/>
    </row>
    <row r="7" spans="1:6">
      <c r="A7" s="13" t="s">
        <v>5</v>
      </c>
      <c r="B7" s="13"/>
      <c r="C7" s="13"/>
      <c r="D7" s="13"/>
      <c r="E7" s="13"/>
      <c r="F7" s="13"/>
    </row>
    <row r="8" spans="1:6">
      <c r="A8" s="3" t="s">
        <v>6</v>
      </c>
      <c r="B8" s="3" t="s">
        <v>7</v>
      </c>
      <c r="C8" s="14" t="s">
        <v>8</v>
      </c>
      <c r="D8" s="14"/>
      <c r="E8" s="14" t="s">
        <v>9</v>
      </c>
      <c r="F8" s="14"/>
    </row>
    <row r="9" spans="1:6" ht="44.1" customHeight="1">
      <c r="A9" s="4">
        <v>1</v>
      </c>
      <c r="B9" s="5">
        <f>IFERROR(INDEX(Agenda!A:A,2),"")</f>
        <v>0</v>
      </c>
      <c r="C9" s="17">
        <f>IFERROR(INDEX(Agenda!B:B,2),"")</f>
        <v>0</v>
      </c>
      <c r="D9" s="17"/>
      <c r="E9" s="17">
        <f>IFERROR(INDEX(Agenda!C:C,2),"")</f>
        <v>0</v>
      </c>
      <c r="F9" s="17"/>
    </row>
    <row r="10" spans="1:6" ht="44.1" customHeight="1">
      <c r="A10" s="4">
        <v>2</v>
      </c>
      <c r="B10" s="5">
        <f>IFERROR(INDEX(Agenda!A:A,3),"")</f>
        <v>0</v>
      </c>
      <c r="C10" s="17">
        <f>IFERROR(INDEX(Agenda!B:B,3),"")</f>
        <v>0</v>
      </c>
      <c r="D10" s="17"/>
      <c r="E10" s="17">
        <f>IFERROR(INDEX(Agenda!C:C,3),"")</f>
        <v>0</v>
      </c>
      <c r="F10" s="17"/>
    </row>
    <row r="11" spans="1:6" ht="44.1" customHeight="1">
      <c r="A11" s="4">
        <v>3</v>
      </c>
      <c r="B11" s="5">
        <f>IFERROR(INDEX(Agenda!A:A,4),"")</f>
        <v>0</v>
      </c>
      <c r="C11" s="17">
        <f>IFERROR(INDEX(Agenda!B:B,4),"")</f>
        <v>0</v>
      </c>
      <c r="D11" s="17"/>
      <c r="E11" s="17">
        <f>IFERROR(INDEX(Agenda!C:C,4),"")</f>
        <v>0</v>
      </c>
      <c r="F11" s="17"/>
    </row>
    <row r="12" spans="1:6" ht="50.1" customHeight="1">
      <c r="A12" s="4">
        <v>4</v>
      </c>
      <c r="B12" s="5">
        <f>IFERROR(INDEX(Agenda!A:A,5),"")</f>
        <v>0</v>
      </c>
      <c r="C12" s="17">
        <f>IFERROR(INDEX(Agenda!B:B,5),"")</f>
        <v>0</v>
      </c>
      <c r="D12" s="17"/>
      <c r="E12" s="17">
        <f>IFERROR(INDEX(Agenda!C:C,5),"")</f>
        <v>0</v>
      </c>
      <c r="F12" s="17"/>
    </row>
    <row r="13" spans="1:6" ht="38.1" customHeight="1">
      <c r="A13" s="4">
        <v>5</v>
      </c>
      <c r="B13" s="5">
        <f>IFERROR(INDEX(Agenda!A:A,6),"")</f>
        <v>0</v>
      </c>
      <c r="C13" s="17">
        <f>IFERROR(INDEX(Agenda!B:B,6),"")</f>
        <v>0</v>
      </c>
      <c r="D13" s="17"/>
      <c r="E13" s="17">
        <f>IFERROR(INDEX(Agenda!C:C,6),"")</f>
        <v>0</v>
      </c>
      <c r="F13" s="17"/>
    </row>
    <row r="14" spans="1:6">
      <c r="A14" s="1"/>
      <c r="B14" s="1"/>
      <c r="C14" s="1"/>
      <c r="D14" s="1"/>
      <c r="E14" s="1"/>
      <c r="F14" s="1"/>
    </row>
    <row r="15" spans="1:6">
      <c r="A15" s="13" t="s">
        <v>10</v>
      </c>
      <c r="B15" s="13"/>
      <c r="C15" s="13"/>
      <c r="D15" s="13"/>
      <c r="E15" s="13"/>
      <c r="F15" s="13"/>
    </row>
    <row r="16" spans="1:6">
      <c r="A16" s="3" t="s">
        <v>6</v>
      </c>
      <c r="B16" s="14" t="s">
        <v>11</v>
      </c>
      <c r="C16" s="14"/>
      <c r="D16" s="3" t="s">
        <v>12</v>
      </c>
      <c r="E16" s="3" t="s">
        <v>13</v>
      </c>
      <c r="F16" s="3" t="s">
        <v>14</v>
      </c>
    </row>
    <row r="17" spans="1:6" ht="51.95" customHeight="1">
      <c r="A17" s="4">
        <v>1</v>
      </c>
      <c r="B17" s="15">
        <f>IFERROR(INDEX(Agenda!C:C,5),"")</f>
        <v>0</v>
      </c>
      <c r="C17" s="16"/>
      <c r="D17" s="4"/>
      <c r="E17" s="6"/>
      <c r="F17" s="4"/>
    </row>
    <row r="18" spans="1:6" ht="33.950000000000003" customHeight="1">
      <c r="A18" s="4">
        <v>2</v>
      </c>
      <c r="B18" s="15">
        <f>IFERROR(INDEX(Agenda!C:C,6),"")</f>
        <v>0</v>
      </c>
      <c r="C18" s="16"/>
      <c r="D18" s="4"/>
      <c r="E18" s="6"/>
      <c r="F18" s="4"/>
    </row>
    <row r="19" spans="1:6" ht="26.1" customHeight="1">
      <c r="A19" s="4">
        <v>3</v>
      </c>
      <c r="B19" s="15">
        <f>IFERROR(INDEX(Agenda!C:C,7),"")</f>
        <v>0</v>
      </c>
      <c r="C19" s="16"/>
      <c r="D19" s="4"/>
      <c r="E19" s="6"/>
      <c r="F19" s="4"/>
    </row>
    <row r="20" spans="1:6" ht="26.1" customHeight="1">
      <c r="A20" s="4">
        <v>4</v>
      </c>
      <c r="B20" s="15">
        <f>IFERROR(INDEX(Agenda!C:C,8),"")</f>
        <v>0</v>
      </c>
      <c r="C20" s="16"/>
      <c r="D20" s="4"/>
      <c r="E20" s="6"/>
      <c r="F20" s="4"/>
    </row>
    <row r="21" spans="1:6" ht="26.1" customHeight="1">
      <c r="A21" s="7">
        <v>5</v>
      </c>
      <c r="B21" s="15">
        <f>IFERROR(INDEX(Agenda!C:C,9),"")</f>
        <v>0</v>
      </c>
      <c r="C21" s="16"/>
      <c r="D21" s="4"/>
      <c r="E21" s="8"/>
      <c r="F21" s="7"/>
    </row>
    <row r="22" spans="1:6">
      <c r="A22" s="2" t="s">
        <v>15</v>
      </c>
      <c r="B22" s="12"/>
      <c r="C22" s="12"/>
      <c r="D22" s="12"/>
      <c r="E22" s="12"/>
      <c r="F22" s="12"/>
    </row>
  </sheetData>
  <mergeCells count="26">
    <mergeCell ref="A7:F7"/>
    <mergeCell ref="A1:F1"/>
    <mergeCell ref="B3:F3"/>
    <mergeCell ref="B4:C4"/>
    <mergeCell ref="E4:F4"/>
    <mergeCell ref="B5:F5"/>
    <mergeCell ref="C8:D8"/>
    <mergeCell ref="E8:F8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21:C21"/>
    <mergeCell ref="B22:F22"/>
    <mergeCell ref="A15:F15"/>
    <mergeCell ref="B16:C16"/>
    <mergeCell ref="B17:C17"/>
    <mergeCell ref="B18:C18"/>
    <mergeCell ref="B19:C19"/>
    <mergeCell ref="B20:C20"/>
  </mergeCells>
  <phoneticPr fontId="5"/>
  <conditionalFormatting sqref="B9:F13">
    <cfRule type="cellIs" dxfId="3" priority="2" operator="equal">
      <formula>0</formula>
    </cfRule>
  </conditionalFormatting>
  <conditionalFormatting sqref="B17:C21">
    <cfRule type="cellIs" dxfId="1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1051-ACB2-479F-B531-74E67EEB79D1}">
  <dimension ref="A1:C24"/>
  <sheetViews>
    <sheetView tabSelected="1" workbookViewId="0">
      <selection activeCell="I16" sqref="I16"/>
    </sheetView>
  </sheetViews>
  <sheetFormatPr defaultRowHeight="18.75"/>
  <cols>
    <col min="1" max="1" width="8" customWidth="1"/>
    <col min="2" max="2" width="18.375" customWidth="1"/>
    <col min="3" max="3" width="60" customWidth="1"/>
  </cols>
  <sheetData>
    <row r="1" spans="1:3" ht="32.1" customHeight="1">
      <c r="A1" s="18" t="s">
        <v>16</v>
      </c>
      <c r="B1" s="19"/>
      <c r="C1" s="19"/>
    </row>
    <row r="2" spans="1:3">
      <c r="A2" s="1"/>
      <c r="B2" s="1"/>
      <c r="C2" s="1"/>
    </row>
    <row r="3" spans="1:3">
      <c r="A3" s="3" t="s">
        <v>6</v>
      </c>
      <c r="B3" s="3" t="s">
        <v>17</v>
      </c>
      <c r="C3" s="3" t="s">
        <v>18</v>
      </c>
    </row>
    <row r="4" spans="1:3">
      <c r="A4" s="4">
        <v>1</v>
      </c>
      <c r="B4" s="5">
        <f>IFERROR(INDEX(minutes!E:E,2),"")</f>
        <v>0</v>
      </c>
      <c r="C4" s="5">
        <f>IFERROR(INDEX(minutes!F:F,2),"")</f>
        <v>0</v>
      </c>
    </row>
    <row r="5" spans="1:3">
      <c r="A5" s="4">
        <v>2</v>
      </c>
      <c r="B5" s="5">
        <f>IFERROR(INDEX(minutes!E:E,3),"")</f>
        <v>0</v>
      </c>
      <c r="C5" s="5">
        <f>IFERROR(INDEX(minutes!F:F,3),"")</f>
        <v>0</v>
      </c>
    </row>
    <row r="6" spans="1:3">
      <c r="A6" s="4">
        <v>3</v>
      </c>
      <c r="B6" s="5">
        <f>IFERROR(INDEX(minutes!E:E,4),"")</f>
        <v>0</v>
      </c>
      <c r="C6" s="5">
        <f>IFERROR(INDEX(minutes!F:F,4),"")</f>
        <v>0</v>
      </c>
    </row>
    <row r="7" spans="1:3">
      <c r="A7" s="4">
        <v>4</v>
      </c>
      <c r="B7" s="5">
        <f>IFERROR(INDEX(minutes!E:E,5),"")</f>
        <v>0</v>
      </c>
      <c r="C7" s="5">
        <f>IFERROR(INDEX(minutes!F:F,5),"")</f>
        <v>0</v>
      </c>
    </row>
    <row r="8" spans="1:3">
      <c r="A8" s="4">
        <v>5</v>
      </c>
      <c r="B8" s="5">
        <f>IFERROR(INDEX(minutes!E:E,6),"")</f>
        <v>0</v>
      </c>
      <c r="C8" s="5">
        <f>IFERROR(INDEX(minutes!F:F,6),"")</f>
        <v>0</v>
      </c>
    </row>
    <row r="9" spans="1:3">
      <c r="A9" s="4">
        <v>6</v>
      </c>
      <c r="B9" s="5">
        <f>IFERROR(INDEX(minutes!E:E,7),"")</f>
        <v>0</v>
      </c>
      <c r="C9" s="5">
        <f>IFERROR(INDEX(minutes!F:F,7),"")</f>
        <v>0</v>
      </c>
    </row>
    <row r="10" spans="1:3">
      <c r="A10" s="4">
        <v>7</v>
      </c>
      <c r="B10" s="5">
        <f>IFERROR(INDEX(minutes!E:E,8),"")</f>
        <v>0</v>
      </c>
      <c r="C10" s="5">
        <f>IFERROR(INDEX(minutes!F:F,8),"")</f>
        <v>0</v>
      </c>
    </row>
    <row r="11" spans="1:3">
      <c r="A11" s="4">
        <v>8</v>
      </c>
      <c r="B11" s="5">
        <f>IFERROR(INDEX(minutes!E:E,9),"")</f>
        <v>0</v>
      </c>
      <c r="C11" s="5">
        <f>IFERROR(INDEX(minutes!F:F,9),"")</f>
        <v>0</v>
      </c>
    </row>
    <row r="12" spans="1:3">
      <c r="A12" s="4">
        <v>9</v>
      </c>
      <c r="B12" s="5">
        <f>IFERROR(INDEX(minutes!E:E,10),"")</f>
        <v>0</v>
      </c>
      <c r="C12" s="5">
        <f>IFERROR(INDEX(minutes!F:F,10),"")</f>
        <v>0</v>
      </c>
    </row>
    <row r="13" spans="1:3">
      <c r="A13" s="4">
        <v>10</v>
      </c>
      <c r="B13" s="5">
        <f>IFERROR(INDEX(minutes!E:E,11),"")</f>
        <v>0</v>
      </c>
      <c r="C13" s="5">
        <f>IFERROR(INDEX(minutes!F:F,11),"")</f>
        <v>0</v>
      </c>
    </row>
    <row r="14" spans="1:3">
      <c r="A14" s="4">
        <v>11</v>
      </c>
      <c r="B14" s="5">
        <f>IFERROR(INDEX(minutes!E:E,12),"")</f>
        <v>0</v>
      </c>
      <c r="C14" s="5">
        <f>IFERROR(INDEX(minutes!F:F,12),"")</f>
        <v>0</v>
      </c>
    </row>
    <row r="15" spans="1:3">
      <c r="A15" s="4">
        <v>12</v>
      </c>
      <c r="B15" s="5">
        <f>IFERROR(INDEX(minutes!E:E,13),"")</f>
        <v>0</v>
      </c>
      <c r="C15" s="5">
        <f>IFERROR(INDEX(minutes!F:F,13),"")</f>
        <v>0</v>
      </c>
    </row>
    <row r="16" spans="1:3">
      <c r="A16" s="4">
        <v>13</v>
      </c>
      <c r="B16" s="5">
        <f>IFERROR(INDEX(minutes!E:E,14),"")</f>
        <v>0</v>
      </c>
      <c r="C16" s="5">
        <f>IFERROR(INDEX(minutes!F:F,14),"")</f>
        <v>0</v>
      </c>
    </row>
    <row r="17" spans="1:3">
      <c r="A17" s="4">
        <v>14</v>
      </c>
      <c r="B17" s="5">
        <f>IFERROR(INDEX(minutes!E:E,15),"")</f>
        <v>0</v>
      </c>
      <c r="C17" s="5">
        <f>IFERROR(INDEX(minutes!F:F,15),"")</f>
        <v>0</v>
      </c>
    </row>
    <row r="18" spans="1:3">
      <c r="A18" s="4">
        <v>15</v>
      </c>
      <c r="B18" s="5">
        <f>IFERROR(INDEX(minutes!E:E,16),"")</f>
        <v>0</v>
      </c>
      <c r="C18" s="5">
        <f>IFERROR(INDEX(minutes!F:F,16),"")</f>
        <v>0</v>
      </c>
    </row>
    <row r="19" spans="1:3">
      <c r="A19" s="4">
        <v>16</v>
      </c>
      <c r="B19" s="5">
        <f>IFERROR(INDEX(minutes!E:E,17),"")</f>
        <v>0</v>
      </c>
      <c r="C19" s="5">
        <f>IFERROR(INDEX(minutes!F:F,17),"")</f>
        <v>0</v>
      </c>
    </row>
    <row r="20" spans="1:3">
      <c r="A20" s="4">
        <v>17</v>
      </c>
      <c r="B20" s="5">
        <f>IFERROR(INDEX(minutes!E:E,18),"")</f>
        <v>0</v>
      </c>
      <c r="C20" s="5">
        <f>IFERROR(INDEX(minutes!F:F,18),"")</f>
        <v>0</v>
      </c>
    </row>
    <row r="21" spans="1:3">
      <c r="A21" s="4">
        <v>18</v>
      </c>
      <c r="B21" s="5">
        <f>IFERROR(INDEX(minutes!E:E,19),"")</f>
        <v>0</v>
      </c>
      <c r="C21" s="5">
        <f>IFERROR(INDEX(minutes!F:F,19),"")</f>
        <v>0</v>
      </c>
    </row>
    <row r="22" spans="1:3">
      <c r="A22" s="4">
        <v>19</v>
      </c>
      <c r="B22" s="5">
        <f>IFERROR(INDEX(minutes!E:E,20),"")</f>
        <v>0</v>
      </c>
      <c r="C22" s="5">
        <f>IFERROR(INDEX(minutes!F:F,20),"")</f>
        <v>0</v>
      </c>
    </row>
    <row r="23" spans="1:3">
      <c r="A23" s="4">
        <v>20</v>
      </c>
      <c r="B23" s="5">
        <f>IFERROR(INDEX(minutes!E:E,21),"")</f>
        <v>0</v>
      </c>
      <c r="C23" s="5">
        <f>IFERROR(INDEX(minutes!F:F,21),"")</f>
        <v>0</v>
      </c>
    </row>
    <row r="24" spans="1:3">
      <c r="A24" s="4">
        <v>21</v>
      </c>
      <c r="B24" s="5">
        <f>IFERROR(INDEX(minutes!E:E,22),"")</f>
        <v>0</v>
      </c>
      <c r="C24" s="5">
        <f>IFERROR(INDEX(minutes!F:F,22),"")</f>
        <v>0</v>
      </c>
    </row>
  </sheetData>
  <mergeCells count="1">
    <mergeCell ref="A1:C1"/>
  </mergeCells>
  <phoneticPr fontId="5"/>
  <conditionalFormatting sqref="B4:C2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94B10-42A6-44F4-9235-6B9402B2E6D8}">
  <dimension ref="A1:E2"/>
  <sheetViews>
    <sheetView workbookViewId="0">
      <selection activeCell="I27" sqref="I27"/>
    </sheetView>
  </sheetViews>
  <sheetFormatPr defaultRowHeight="18.75"/>
  <cols>
    <col min="1" max="2" width="7.125" bestFit="1" customWidth="1"/>
    <col min="5" max="5" width="5.25" bestFit="1" customWidth="1"/>
  </cols>
  <sheetData>
    <row r="1" spans="1:5">
      <c r="A1" t="s">
        <v>1</v>
      </c>
      <c r="B1" t="s">
        <v>19</v>
      </c>
      <c r="C1" t="s">
        <v>20</v>
      </c>
      <c r="D1" t="s">
        <v>21</v>
      </c>
      <c r="E1" t="s">
        <v>3</v>
      </c>
    </row>
    <row r="2" spans="1:5">
      <c r="B2" s="9"/>
      <c r="C2" s="10"/>
      <c r="D2" s="10"/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07DBE-BE1D-44FD-9ACF-0B6169C24A1A}">
  <dimension ref="A1:F22"/>
  <sheetViews>
    <sheetView workbookViewId="0">
      <selection activeCell="H22" sqref="H22"/>
    </sheetView>
  </sheetViews>
  <sheetFormatPr defaultRowHeight="18.75"/>
  <cols>
    <col min="1" max="1" width="7.125" bestFit="1" customWidth="1"/>
    <col min="4" max="5" width="7.125" bestFit="1" customWidth="1"/>
    <col min="6" max="6" width="9" bestFit="1" customWidth="1"/>
  </cols>
  <sheetData>
    <row r="1" spans="1:6">
      <c r="A1" t="s">
        <v>22</v>
      </c>
      <c r="B1" t="s">
        <v>20</v>
      </c>
      <c r="C1" t="s">
        <v>21</v>
      </c>
      <c r="D1" t="s">
        <v>23</v>
      </c>
      <c r="E1" t="s">
        <v>17</v>
      </c>
      <c r="F1" t="s">
        <v>24</v>
      </c>
    </row>
    <row r="2" spans="1:6">
      <c r="B2" s="11"/>
      <c r="C2" s="11"/>
    </row>
    <row r="3" spans="1:6">
      <c r="B3" s="11"/>
      <c r="C3" s="11"/>
    </row>
    <row r="4" spans="1:6">
      <c r="B4" s="11"/>
      <c r="C4" s="11"/>
    </row>
    <row r="5" spans="1:6">
      <c r="B5" s="11"/>
      <c r="C5" s="11"/>
    </row>
    <row r="6" spans="1:6">
      <c r="B6" s="11"/>
      <c r="C6" s="11"/>
    </row>
    <row r="7" spans="1:6">
      <c r="B7" s="11"/>
      <c r="C7" s="11"/>
    </row>
    <row r="8" spans="1:6">
      <c r="B8" s="11"/>
      <c r="C8" s="11"/>
    </row>
    <row r="9" spans="1:6">
      <c r="B9" s="11"/>
      <c r="C9" s="11"/>
    </row>
    <row r="10" spans="1:6">
      <c r="B10" s="11"/>
      <c r="C10" s="11"/>
    </row>
    <row r="11" spans="1:6">
      <c r="B11" s="11"/>
      <c r="C11" s="11"/>
    </row>
    <row r="12" spans="1:6">
      <c r="B12" s="11"/>
      <c r="C12" s="11"/>
    </row>
    <row r="13" spans="1:6">
      <c r="B13" s="11"/>
      <c r="C13" s="11"/>
    </row>
    <row r="14" spans="1:6">
      <c r="B14" s="11"/>
      <c r="C14" s="11"/>
    </row>
    <row r="15" spans="1:6">
      <c r="B15" s="11"/>
      <c r="C15" s="11"/>
    </row>
    <row r="16" spans="1:6">
      <c r="B16" s="11"/>
      <c r="C16" s="11"/>
    </row>
    <row r="17" spans="2:3">
      <c r="B17" s="11"/>
      <c r="C17" s="11"/>
    </row>
    <row r="18" spans="2:3">
      <c r="B18" s="11"/>
      <c r="C18" s="11"/>
    </row>
    <row r="19" spans="2:3">
      <c r="B19" s="11"/>
      <c r="C19" s="11"/>
    </row>
    <row r="20" spans="2:3">
      <c r="B20" s="11"/>
      <c r="C20" s="11"/>
    </row>
    <row r="21" spans="2:3">
      <c r="B21" s="11"/>
      <c r="C21" s="11"/>
    </row>
    <row r="22" spans="2:3">
      <c r="B22" s="11"/>
      <c r="C22" s="11"/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E14F-5618-47D7-B693-D0846DD3700D}">
  <dimension ref="A1:D1"/>
  <sheetViews>
    <sheetView workbookViewId="0">
      <selection activeCell="J21" sqref="J21"/>
    </sheetView>
  </sheetViews>
  <sheetFormatPr defaultRowHeight="18.75"/>
  <cols>
    <col min="1" max="3" width="7.125" bestFit="1" customWidth="1"/>
    <col min="4" max="4" width="7.25" bestFit="1" customWidth="1"/>
  </cols>
  <sheetData>
    <row r="1" spans="1:4">
      <c r="A1" t="s">
        <v>23</v>
      </c>
      <c r="B1" t="s">
        <v>25</v>
      </c>
      <c r="C1" t="s">
        <v>26</v>
      </c>
      <c r="D1" t="s">
        <v>27</v>
      </c>
    </row>
  </sheetData>
  <phoneticPr fontId="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5A6A5-4BE9-4D66-B12B-42748EDA896B}">
  <dimension ref="A1:C1"/>
  <sheetViews>
    <sheetView workbookViewId="0">
      <selection activeCell="H20" sqref="H20"/>
    </sheetView>
  </sheetViews>
  <sheetFormatPr defaultRowHeight="18.75"/>
  <cols>
    <col min="1" max="2" width="5.25" bestFit="1" customWidth="1"/>
    <col min="3" max="3" width="9" bestFit="1" customWidth="1"/>
  </cols>
  <sheetData>
    <row r="1" spans="1:3">
      <c r="A1" t="s">
        <v>7</v>
      </c>
      <c r="B1" t="s">
        <v>28</v>
      </c>
      <c r="C1" t="s">
        <v>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4</vt:i4>
      </vt:variant>
    </vt:vector>
  </HeadingPairs>
  <TitlesOfParts>
    <vt:vector size="10" baseType="lpstr">
      <vt:lpstr>議事録</vt:lpstr>
      <vt:lpstr>発言記録</vt:lpstr>
      <vt:lpstr>header</vt:lpstr>
      <vt:lpstr>minutes</vt:lpstr>
      <vt:lpstr>participants</vt:lpstr>
      <vt:lpstr>Agenda</vt:lpstr>
      <vt:lpstr>Agenda!AgendaData</vt:lpstr>
      <vt:lpstr>header!HeaderData</vt:lpstr>
      <vt:lpstr>minutes!MinutesData</vt:lpstr>
      <vt:lpstr>participants!ParticipantsData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浅井俊行</dc:creator>
  <cp:lastModifiedBy>浅井俊行</cp:lastModifiedBy>
  <dcterms:created xsi:type="dcterms:W3CDTF">2026-10-05T07:26:49Z</dcterms:created>
  <dcterms:modified xsi:type="dcterms:W3CDTF">2026-10-08T08:19:48Z</dcterms:modified>
</cp:coreProperties>
</file>